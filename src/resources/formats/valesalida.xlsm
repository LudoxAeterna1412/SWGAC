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E:\Trabajo\SWTIC\swgac_oficial_v1\src\resources\formats\"/>
    </mc:Choice>
  </mc:AlternateContent>
  <xr:revisionPtr revIDLastSave="0" documentId="13_ncr:1_{4FEEA0D8-A0C0-47B6-AD95-BF74213650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UIA PRIVADOS" sheetId="11" r:id="rId1"/>
    <sheet name="Hoja2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7" i="11" l="1"/>
  <c r="H23" i="11"/>
  <c r="E60" i="11"/>
  <c r="E59" i="11"/>
  <c r="F45" i="11"/>
  <c r="D44" i="11"/>
  <c r="K50" i="11"/>
  <c r="D50" i="11"/>
  <c r="I38" i="11"/>
  <c r="H42" i="11"/>
  <c r="G40" i="11"/>
  <c r="G6" i="11"/>
  <c r="H8" i="11"/>
</calcChain>
</file>

<file path=xl/sharedStrings.xml><?xml version="1.0" encoding="utf-8"?>
<sst xmlns="http://schemas.openxmlformats.org/spreadsheetml/2006/main" count="62" uniqueCount="39">
  <si>
    <t>NOMBRE</t>
  </si>
  <si>
    <t>CÓDIGO</t>
  </si>
  <si>
    <t>DESCRIPCIÓN</t>
  </si>
  <si>
    <t>CANTIDAD</t>
  </si>
  <si>
    <t>PLACA</t>
  </si>
  <si>
    <t>UNIDAD</t>
  </si>
  <si>
    <t>N°</t>
  </si>
  <si>
    <t>DESTINATARIO</t>
  </si>
  <si>
    <t xml:space="preserve">Peso Bruto de la carga: </t>
  </si>
  <si>
    <t xml:space="preserve">Fecha de inicio de Traslado: </t>
  </si>
  <si>
    <t>Punto de partida</t>
  </si>
  <si>
    <t>ASOC TALLERES LOS MOLLES SN - CRL. GREG. ALBARRACIN LANCHIPA . TACNA -TACNA</t>
  </si>
  <si>
    <t>Punto de llegada</t>
  </si>
  <si>
    <t xml:space="preserve">Fecha y hora de emisión: </t>
  </si>
  <si>
    <t>M3</t>
  </si>
  <si>
    <t xml:space="preserve">Datos del Destinatario: </t>
  </si>
  <si>
    <t>Motivo de Traslado:</t>
  </si>
  <si>
    <t xml:space="preserve">  Venta</t>
  </si>
  <si>
    <r>
      <t xml:space="preserve">Unidad de Medidad del Pesos Bruto: </t>
    </r>
    <r>
      <rPr>
        <b/>
        <sz val="8"/>
        <color rgb="FF000000"/>
        <rFont val="Arial"/>
        <family val="2"/>
      </rPr>
      <t>KGM</t>
    </r>
  </si>
  <si>
    <t>Bienes por transportar:</t>
  </si>
  <si>
    <t>Vehículo principal:</t>
  </si>
  <si>
    <t>Operador principal:</t>
  </si>
  <si>
    <t>CODIGO</t>
  </si>
  <si>
    <t>AUN774</t>
  </si>
  <si>
    <t>Z5A856</t>
  </si>
  <si>
    <t>Z3I943</t>
  </si>
  <si>
    <t>BRC713</t>
  </si>
  <si>
    <t>VISA PERCCA JOEL CRISTHIAN - DNI N° 44524980 - LIC K44524980</t>
  </si>
  <si>
    <t>CHOQUECOTA ACERO MARCELINO ZACARIAS - DNI N° 42063751 - LIC U42063751</t>
  </si>
  <si>
    <t>MAQUERA VILCA EVER RUZO - DNI N° 71271605 - LIC K71271605</t>
  </si>
  <si>
    <t>CERRATE CORDOVA PEDRO KENNY - DNI N° 41545643 - LIC H41545643</t>
  </si>
  <si>
    <t>REMITENTE</t>
  </si>
  <si>
    <t>VALE DE SALIDA</t>
  </si>
  <si>
    <t>INOCENCIO PACO VILCA</t>
  </si>
  <si>
    <t>CONCRETO PREMEZCLADO FC' 210 KG/CM2, AGREGADO GRUESO HUSO 67, SLUMP 4"6" COLOCADO BOMBEABLE</t>
  </si>
  <si>
    <t>ASOC VILLA BELEN REF FUNDO LOS OLIVOS</t>
  </si>
  <si>
    <t xml:space="preserve">RUC N° </t>
  </si>
  <si>
    <t xml:space="preserve">N° </t>
  </si>
  <si>
    <t>EG07-00000003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</si>
</sst>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yy\ hh:mm\ AM/PM"/>
    <numFmt numFmtId="165" formatCode="d/mm/yyyy\ "/>
  </numFmts>
  <fonts count="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sz val="10"/>
      <color rgb="FF000000"/>
      <name val="Bahnschrift SemiBold"/>
      <family val="2"/>
    </font>
    <font>
      <sz val="8"/>
      <color rgb="FF000000"/>
      <name val="Arial"/>
      <family val="2"/>
    </font>
    <font>
      <b/>
      <sz val="9"/>
      <color rgb="FF000000"/>
      <name val="Bahnschrift SemiBold"/>
      <family val="2"/>
    </font>
    <font>
      <b/>
      <sz val="8"/>
      <color rgb="FF000000"/>
      <name val="Arial"/>
      <family val="2"/>
    </font>
    <font>
      <sz val="10"/>
      <color rgb="FF000000"/>
      <name val="Baskerville Old Face"/>
      <family val="1"/>
    </font>
    <font>
      <b/>
      <sz val="10"/>
      <color rgb="FF000000"/>
      <name val="Baskerville Old Face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65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6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left"/>
    </xf>
    <xf numFmtId="0" fontId="1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/>
    </xf>
    <xf numFmtId="0" fontId="4" fillId="2" borderId="15" xfId="0" applyFont="1" applyFill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7" xfId="0" applyFont="1" applyBorder="1" applyAlignment="1">
      <alignment horizontal="right" vertical="center"/>
    </xf>
    <xf numFmtId="0" fontId="2" fillId="0" borderId="11" xfId="0" applyFont="1" applyBorder="1" applyAlignment="1">
      <alignment vertical="center"/>
    </xf>
    <xf numFmtId="0" fontId="2" fillId="0" borderId="10" xfId="0" applyFont="1" applyBorder="1" applyAlignment="1">
      <alignment horizontal="right" vertical="center"/>
    </xf>
    <xf numFmtId="0" fontId="3" fillId="0" borderId="3" xfId="0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0" fontId="2" fillId="0" borderId="0" xfId="0" applyFont="1" applyAlignment="1">
      <alignment vertical="center"/>
    </xf>
    <xf numFmtId="0" fontId="2" fillId="0" borderId="12" xfId="0" applyFont="1" applyBorder="1" applyAlignment="1">
      <alignment horizontal="right" vertical="center"/>
    </xf>
    <xf numFmtId="0" fontId="2" fillId="0" borderId="8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3" fillId="0" borderId="10" xfId="0" applyFont="1" applyBorder="1" applyAlignment="1">
      <alignment vertical="top"/>
    </xf>
    <xf numFmtId="0" fontId="3" fillId="0" borderId="0" xfId="0" applyFont="1" applyAlignment="1">
      <alignment vertical="top"/>
    </xf>
    <xf numFmtId="0" fontId="3" fillId="0" borderId="1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3" fillId="0" borderId="13" xfId="0" applyFont="1" applyBorder="1" applyAlignment="1">
      <alignment vertical="top"/>
    </xf>
    <xf numFmtId="0" fontId="3" fillId="0" borderId="14" xfId="0" applyFont="1" applyBorder="1" applyAlignment="1">
      <alignment vertical="top"/>
    </xf>
    <xf numFmtId="0" fontId="4" fillId="2" borderId="2" xfId="0" applyFont="1" applyFill="1" applyBorder="1" applyAlignment="1">
      <alignment vertical="center"/>
    </xf>
    <xf numFmtId="0" fontId="4" fillId="2" borderId="15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164" fontId="3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755990</xdr:colOff>
      <xdr:row>1</xdr:row>
      <xdr:rowOff>0</xdr:rowOff>
    </xdr:from>
    <xdr:to>
      <xdr:col>2</xdr:col>
      <xdr:colOff>120646</xdr:colOff>
      <xdr:row>4</xdr:row>
      <xdr:rowOff>38933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3176473-7ECD-4039-8FCB-0DBA214E48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026"/>
        <a:stretch/>
      </xdr:blipFill>
      <xdr:spPr>
        <a:xfrm>
          <a:off x="755990" y="0"/>
          <a:ext cx="464361" cy="480546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120651</xdr:colOff>
      <xdr:row>1</xdr:row>
      <xdr:rowOff>121683</xdr:rowOff>
    </xdr:from>
    <xdr:to>
      <xdr:col>6</xdr:col>
      <xdr:colOff>7368</xdr:colOff>
      <xdr:row>3</xdr:row>
      <xdr:rowOff>31750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14CCA5C-3749-4A0F-81D6-29FF5B81D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6" y="280433"/>
          <a:ext cx="1093216" cy="195817"/>
        </a:xfrm>
        <a:prstGeom prst="rect">
          <a:avLst/>
        </a:prstGeom>
      </xdr:spPr>
    </xdr:pic>
    <xdr:clientData/>
  </xdr:twoCellAnchor>
  <xdr:oneCellAnchor>
    <xdr:from>
      <xdr:col>0</xdr:col>
      <xdr:colOff>747331</xdr:colOff>
      <xdr:row>34</xdr:row>
      <xdr:rowOff>147637</xdr:rowOff>
    </xdr:from>
    <xdr:ext cx="471784" cy="494991"/>
    <xdr:pic>
      <xdr:nvPicPr>
        <xdr:cNvPr id="7" name="Imagen 6">
          <a:extLst>
            <a:ext uri="{FF2B5EF4-FFF2-40B4-BE49-F238E27FC236}">
              <a16:creationId xmlns:a16="http://schemas.microsoft.com/office/drawing/2014/main" id="{E53D62D7-6E2D-40BA-A53E-04986A9FF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31" y="5455660"/>
          <a:ext cx="471784" cy="494991"/>
        </a:xfrm>
        <a:prstGeom prst="rect">
          <a:avLst/>
        </a:prstGeom>
      </xdr:spPr>
    </xdr:pic>
    <xdr:clientData/>
  </xdr:oneCellAnchor>
  <xdr:oneCellAnchor>
    <xdr:from>
      <xdr:col>2</xdr:col>
      <xdr:colOff>120651</xdr:colOff>
      <xdr:row>35</xdr:row>
      <xdr:rowOff>121683</xdr:rowOff>
    </xdr:from>
    <xdr:ext cx="1107526" cy="205208"/>
    <xdr:pic>
      <xdr:nvPicPr>
        <xdr:cNvPr id="8" name="Imagen 7">
          <a:extLst>
            <a:ext uri="{FF2B5EF4-FFF2-40B4-BE49-F238E27FC236}">
              <a16:creationId xmlns:a16="http://schemas.microsoft.com/office/drawing/2014/main" id="{B66D4FB6-8551-4646-94BB-52BB17EA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024" y="282669"/>
          <a:ext cx="1107526" cy="20520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0CF4C-85D1-4831-96BE-2EC79DBA8590}">
  <dimension ref="A2:K61"/>
  <sheetViews>
    <sheetView tabSelected="1" view="pageBreakPreview" zoomScale="160" zoomScaleNormal="96" zoomScaleSheetLayoutView="160" workbookViewId="0">
      <selection activeCell="F11" sqref="F11:K11"/>
    </sheetView>
  </sheetViews>
  <sheetFormatPr baseColWidth="10" defaultRowHeight="12.75" x14ac:dyDescent="0.2"/>
  <cols>
    <col min="1" max="1" width="12" style="1" customWidth="1"/>
    <col min="2" max="2" width="4.5703125" style="1" customWidth="1"/>
    <col min="3" max="3" width="10.85546875" style="1" customWidth="1"/>
    <col min="4" max="4" width="2" style="1" customWidth="1"/>
    <col min="5" max="5" width="3.140625" style="1" customWidth="1"/>
    <col min="6" max="6" width="2.140625" style="1" customWidth="1"/>
    <col min="7" max="7" width="2.42578125" style="1" customWidth="1"/>
    <col min="8" max="8" width="24.85546875" style="1" customWidth="1"/>
    <col min="9" max="9" width="8.42578125" style="1" customWidth="1"/>
    <col min="10" max="10" width="14.7109375" style="1" customWidth="1"/>
    <col min="11" max="16384" width="11.42578125" style="1"/>
  </cols>
  <sheetData>
    <row r="2" spans="2:11" ht="11.25" customHeight="1" x14ac:dyDescent="0.2">
      <c r="I2" s="32" t="s">
        <v>36</v>
      </c>
      <c r="J2" s="40">
        <v>20609399792</v>
      </c>
      <c r="K2" s="30"/>
    </row>
    <row r="3" spans="2:11" ht="11.25" customHeight="1" x14ac:dyDescent="0.2">
      <c r="I3" s="34"/>
      <c r="J3" s="38" t="s">
        <v>32</v>
      </c>
      <c r="K3" s="33"/>
    </row>
    <row r="4" spans="2:11" ht="11.25" customHeight="1" x14ac:dyDescent="0.2">
      <c r="I4" s="39" t="s">
        <v>37</v>
      </c>
      <c r="J4" s="41" t="s">
        <v>38</v>
      </c>
      <c r="K4" s="31"/>
    </row>
    <row r="6" spans="2:11" x14ac:dyDescent="0.2">
      <c r="B6" s="21" t="s">
        <v>13</v>
      </c>
      <c r="C6" s="21"/>
      <c r="D6" s="21"/>
      <c r="E6" s="21"/>
      <c r="F6" s="20"/>
      <c r="G6" s="60">
        <f ca="1">NOW()</f>
        <v>45859.140223495371</v>
      </c>
      <c r="H6" s="60"/>
      <c r="I6" s="20"/>
      <c r="J6" s="22" t="s">
        <v>16</v>
      </c>
      <c r="K6" s="9" t="s">
        <v>17</v>
      </c>
    </row>
    <row r="7" spans="2:11" ht="6.75" customHeight="1" x14ac:dyDescent="0.2">
      <c r="B7" s="18"/>
      <c r="C7" s="20"/>
      <c r="D7" s="20"/>
      <c r="E7" s="20"/>
      <c r="F7" s="20"/>
      <c r="G7" s="20"/>
      <c r="H7" s="23"/>
      <c r="I7" s="19"/>
      <c r="J7" s="20"/>
      <c r="K7" s="20"/>
    </row>
    <row r="8" spans="2:11" x14ac:dyDescent="0.2">
      <c r="B8" s="18" t="s">
        <v>9</v>
      </c>
      <c r="C8" s="18"/>
      <c r="D8" s="18"/>
      <c r="E8" s="18"/>
      <c r="F8" s="18"/>
      <c r="G8" s="18"/>
      <c r="H8" s="6">
        <f ca="1">TODAY()</f>
        <v>45859</v>
      </c>
      <c r="I8" s="19"/>
      <c r="J8" s="20"/>
      <c r="K8" s="20"/>
    </row>
    <row r="9" spans="2:11" x14ac:dyDescent="0.2">
      <c r="B9" s="21" t="s">
        <v>10</v>
      </c>
      <c r="C9" s="21"/>
      <c r="D9" s="16" t="s">
        <v>11</v>
      </c>
      <c r="E9" s="16"/>
      <c r="F9" s="16"/>
      <c r="G9" s="16"/>
      <c r="H9" s="16"/>
      <c r="I9" s="16"/>
      <c r="J9" s="16"/>
      <c r="K9" s="16"/>
    </row>
    <row r="10" spans="2:11" x14ac:dyDescent="0.2">
      <c r="B10" s="21" t="s">
        <v>12</v>
      </c>
      <c r="C10" s="21"/>
      <c r="D10" s="16" t="s">
        <v>35</v>
      </c>
      <c r="E10" s="16"/>
      <c r="F10" s="16"/>
      <c r="G10" s="16"/>
      <c r="H10" s="16"/>
      <c r="I10" s="16"/>
      <c r="J10" s="16"/>
      <c r="K10" s="16"/>
    </row>
    <row r="11" spans="2:11" x14ac:dyDescent="0.2">
      <c r="B11" s="21" t="s">
        <v>15</v>
      </c>
      <c r="C11" s="21"/>
      <c r="D11" s="21"/>
      <c r="E11" s="21"/>
      <c r="F11" s="62" t="s">
        <v>33</v>
      </c>
      <c r="G11" s="62"/>
      <c r="H11" s="62"/>
      <c r="I11" s="62"/>
      <c r="J11" s="62"/>
      <c r="K11" s="62"/>
    </row>
    <row r="12" spans="2:11" ht="6.75" customHeight="1" x14ac:dyDescent="0.2">
      <c r="B12" s="2"/>
      <c r="C12" s="2"/>
      <c r="D12" s="2"/>
      <c r="E12" s="2"/>
      <c r="F12" s="15"/>
      <c r="G12" s="15"/>
      <c r="H12" s="15"/>
      <c r="I12" s="15"/>
    </row>
    <row r="13" spans="2:11" x14ac:dyDescent="0.2">
      <c r="B13" s="21" t="s">
        <v>19</v>
      </c>
      <c r="C13" s="21"/>
      <c r="D13" s="21"/>
      <c r="E13" s="21"/>
      <c r="F13" s="15"/>
      <c r="G13" s="15"/>
      <c r="H13" s="15"/>
      <c r="I13" s="15"/>
    </row>
    <row r="14" spans="2:11" x14ac:dyDescent="0.2">
      <c r="B14" s="18"/>
      <c r="C14" s="18"/>
      <c r="D14" s="18"/>
      <c r="E14" s="18"/>
      <c r="F14" s="15"/>
      <c r="G14" s="15"/>
      <c r="H14" s="15"/>
      <c r="I14" s="15"/>
    </row>
    <row r="15" spans="2:11" x14ac:dyDescent="0.2">
      <c r="B15" s="13" t="s">
        <v>6</v>
      </c>
      <c r="C15" s="13" t="s">
        <v>1</v>
      </c>
      <c r="D15" s="54"/>
      <c r="E15" s="55"/>
      <c r="F15" s="55"/>
      <c r="G15" s="55"/>
      <c r="H15" s="55" t="s">
        <v>2</v>
      </c>
      <c r="I15" s="56"/>
      <c r="J15" s="14" t="s">
        <v>5</v>
      </c>
      <c r="K15" s="13" t="s">
        <v>3</v>
      </c>
    </row>
    <row r="16" spans="2:11" ht="12.75" customHeight="1" x14ac:dyDescent="0.2">
      <c r="B16" s="57">
        <v>1</v>
      </c>
      <c r="C16" s="3"/>
      <c r="D16" s="42" t="s">
        <v>34</v>
      </c>
      <c r="E16" s="43"/>
      <c r="F16" s="43"/>
      <c r="G16" s="43"/>
      <c r="H16" s="43"/>
      <c r="I16" s="44"/>
      <c r="J16" s="42" t="s">
        <v>14</v>
      </c>
      <c r="K16" s="10">
        <v>7</v>
      </c>
    </row>
    <row r="17" spans="2:11" x14ac:dyDescent="0.2">
      <c r="B17" s="58"/>
      <c r="C17" s="4"/>
      <c r="D17" s="45"/>
      <c r="E17" s="46"/>
      <c r="F17" s="46"/>
      <c r="G17" s="46"/>
      <c r="H17" s="46"/>
      <c r="I17" s="47"/>
      <c r="J17" s="45"/>
      <c r="K17" s="11"/>
    </row>
    <row r="18" spans="2:11" x14ac:dyDescent="0.2">
      <c r="B18" s="58"/>
      <c r="C18" s="4"/>
      <c r="D18" s="45"/>
      <c r="E18" s="46"/>
      <c r="F18" s="46"/>
      <c r="G18" s="46"/>
      <c r="H18" s="46"/>
      <c r="I18" s="47"/>
      <c r="J18" s="45"/>
      <c r="K18" s="11"/>
    </row>
    <row r="19" spans="2:11" x14ac:dyDescent="0.2">
      <c r="B19" s="58"/>
      <c r="C19" s="4"/>
      <c r="D19" s="45"/>
      <c r="E19" s="46"/>
      <c r="F19" s="46"/>
      <c r="G19" s="46"/>
      <c r="H19" s="46"/>
      <c r="I19" s="47"/>
      <c r="J19" s="45"/>
      <c r="K19" s="11"/>
    </row>
    <row r="20" spans="2:11" x14ac:dyDescent="0.2">
      <c r="B20" s="59"/>
      <c r="C20" s="5"/>
      <c r="D20" s="48"/>
      <c r="E20" s="49"/>
      <c r="F20" s="49"/>
      <c r="G20" s="49"/>
      <c r="H20" s="49"/>
      <c r="I20" s="50"/>
      <c r="J20" s="48"/>
      <c r="K20" s="12"/>
    </row>
    <row r="21" spans="2:11" x14ac:dyDescent="0.2">
      <c r="B21" s="27"/>
      <c r="D21" s="28"/>
      <c r="E21" s="28"/>
      <c r="F21" s="28"/>
      <c r="G21" s="28"/>
      <c r="H21" s="28"/>
      <c r="I21" s="28"/>
      <c r="J21" s="27"/>
      <c r="K21" s="8"/>
    </row>
    <row r="22" spans="2:11" x14ac:dyDescent="0.2">
      <c r="B22" s="7" t="s">
        <v>18</v>
      </c>
      <c r="H22" s="8"/>
    </row>
    <row r="23" spans="2:11" x14ac:dyDescent="0.2">
      <c r="B23" s="7" t="s">
        <v>8</v>
      </c>
      <c r="E23" s="16"/>
      <c r="F23" s="16"/>
      <c r="G23" s="16"/>
      <c r="H23" s="9">
        <f>K16*2350</f>
        <v>16450</v>
      </c>
    </row>
    <row r="24" spans="2:11" ht="6.75" customHeight="1" x14ac:dyDescent="0.2"/>
    <row r="25" spans="2:11" x14ac:dyDescent="0.2">
      <c r="B25" s="61" t="s">
        <v>20</v>
      </c>
      <c r="C25" s="61"/>
      <c r="D25" s="61"/>
      <c r="E25" s="16" t="s">
        <v>23</v>
      </c>
      <c r="F25" s="16"/>
      <c r="G25" s="16"/>
      <c r="H25" s="16"/>
      <c r="I25" s="20"/>
      <c r="J25" s="20"/>
      <c r="K25" s="20"/>
    </row>
    <row r="26" spans="2:11" x14ac:dyDescent="0.2">
      <c r="B26" s="61" t="s">
        <v>21</v>
      </c>
      <c r="C26" s="61"/>
      <c r="D26" s="61"/>
      <c r="E26" s="16" t="s">
        <v>30</v>
      </c>
      <c r="F26" s="16"/>
      <c r="G26" s="16"/>
      <c r="H26" s="16"/>
      <c r="I26" s="16"/>
      <c r="J26" s="16"/>
      <c r="K26" s="16"/>
    </row>
    <row r="27" spans="2:11" x14ac:dyDescent="0.2">
      <c r="K27" s="26" t="s">
        <v>7</v>
      </c>
    </row>
    <row r="28" spans="2:11" x14ac:dyDescent="0.2">
      <c r="K28" s="17"/>
    </row>
    <row r="29" spans="2:11" x14ac:dyDescent="0.2">
      <c r="K29" s="17"/>
    </row>
    <row r="30" spans="2:11" x14ac:dyDescent="0.2">
      <c r="K30" s="17"/>
    </row>
    <row r="31" spans="2:11" x14ac:dyDescent="0.2">
      <c r="K31" s="17"/>
    </row>
    <row r="32" spans="2:11" x14ac:dyDescent="0.2">
      <c r="K32" s="17"/>
    </row>
    <row r="33" spans="1:11" x14ac:dyDescent="0.2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5"/>
    </row>
    <row r="34" spans="1:11" x14ac:dyDescent="0.2">
      <c r="K34" s="17"/>
    </row>
    <row r="36" spans="1:11" x14ac:dyDescent="0.2">
      <c r="I36" s="32" t="s">
        <v>36</v>
      </c>
      <c r="J36" s="40">
        <v>20609399792</v>
      </c>
      <c r="K36" s="30"/>
    </row>
    <row r="37" spans="1:11" x14ac:dyDescent="0.2">
      <c r="I37" s="34"/>
      <c r="J37" s="38" t="s">
        <v>32</v>
      </c>
      <c r="K37" s="33"/>
    </row>
    <row r="38" spans="1:11" x14ac:dyDescent="0.2">
      <c r="I38" s="39" t="str">
        <f>I4</f>
        <v xml:space="preserve">N° </v>
      </c>
      <c r="J38" s="41"/>
      <c r="K38" s="31"/>
    </row>
    <row r="40" spans="1:11" x14ac:dyDescent="0.2">
      <c r="B40" s="21" t="s">
        <v>13</v>
      </c>
      <c r="C40" s="21"/>
      <c r="D40" s="21"/>
      <c r="E40" s="21"/>
      <c r="F40" s="20"/>
      <c r="G40" s="60">
        <f ca="1">NOW()</f>
        <v>45859.140223495371</v>
      </c>
      <c r="H40" s="60"/>
      <c r="I40" s="20"/>
      <c r="J40" s="22" t="s">
        <v>16</v>
      </c>
      <c r="K40" s="9" t="s">
        <v>17</v>
      </c>
    </row>
    <row r="41" spans="1:11" ht="6.75" customHeight="1" x14ac:dyDescent="0.2">
      <c r="B41" s="18"/>
      <c r="C41" s="20"/>
      <c r="D41" s="20"/>
      <c r="E41" s="20"/>
      <c r="F41" s="20"/>
      <c r="G41" s="20"/>
      <c r="H41" s="23"/>
      <c r="I41" s="19"/>
      <c r="J41" s="20"/>
      <c r="K41" s="20"/>
    </row>
    <row r="42" spans="1:11" x14ac:dyDescent="0.2">
      <c r="B42" s="18" t="s">
        <v>9</v>
      </c>
      <c r="C42" s="18"/>
      <c r="D42" s="18"/>
      <c r="E42" s="18"/>
      <c r="F42" s="18"/>
      <c r="G42" s="18"/>
      <c r="H42" s="6">
        <f ca="1">TODAY()</f>
        <v>45859</v>
      </c>
      <c r="I42" s="19"/>
      <c r="J42" s="20"/>
      <c r="K42" s="20"/>
    </row>
    <row r="43" spans="1:11" x14ac:dyDescent="0.2">
      <c r="B43" s="21" t="s">
        <v>10</v>
      </c>
      <c r="C43" s="21"/>
      <c r="D43" s="16" t="s">
        <v>11</v>
      </c>
      <c r="E43" s="16"/>
      <c r="F43" s="16"/>
      <c r="G43" s="16"/>
      <c r="H43" s="16"/>
      <c r="I43" s="16"/>
      <c r="J43" s="16"/>
      <c r="K43" s="16"/>
    </row>
    <row r="44" spans="1:11" x14ac:dyDescent="0.2">
      <c r="B44" s="21" t="s">
        <v>12</v>
      </c>
      <c r="C44" s="21"/>
      <c r="D44" s="16" t="str">
        <f>D10</f>
        <v>ASOC VILLA BELEN REF FUNDO LOS OLIVOS</v>
      </c>
      <c r="E44" s="16"/>
      <c r="F44" s="16"/>
      <c r="G44" s="16"/>
      <c r="H44" s="16"/>
      <c r="I44" s="16"/>
      <c r="J44" s="16"/>
      <c r="K44" s="16"/>
    </row>
    <row r="45" spans="1:11" x14ac:dyDescent="0.2">
      <c r="B45" s="21" t="s">
        <v>15</v>
      </c>
      <c r="C45" s="21"/>
      <c r="D45" s="21"/>
      <c r="E45" s="21"/>
      <c r="F45" s="16" t="str">
        <f>F11</f>
        <v>INOCENCIO PACO VILCA</v>
      </c>
      <c r="G45" s="16"/>
      <c r="H45" s="16"/>
      <c r="I45" s="16"/>
      <c r="J45" s="16"/>
      <c r="K45" s="16"/>
    </row>
    <row r="46" spans="1:11" ht="6.75" customHeight="1" x14ac:dyDescent="0.2">
      <c r="B46" s="2"/>
      <c r="C46" s="2"/>
      <c r="D46" s="2"/>
      <c r="E46" s="2"/>
      <c r="F46" s="15"/>
      <c r="G46" s="15"/>
      <c r="H46" s="15"/>
      <c r="I46" s="15"/>
    </row>
    <row r="47" spans="1:11" x14ac:dyDescent="0.2">
      <c r="B47" s="21" t="s">
        <v>19</v>
      </c>
      <c r="C47" s="21"/>
      <c r="D47" s="21"/>
      <c r="E47" s="21"/>
      <c r="F47" s="15"/>
      <c r="G47" s="15"/>
      <c r="H47" s="15"/>
      <c r="I47" s="15"/>
    </row>
    <row r="48" spans="1:11" x14ac:dyDescent="0.2">
      <c r="B48" s="18"/>
      <c r="C48" s="18"/>
      <c r="D48" s="18"/>
      <c r="E48" s="18"/>
      <c r="F48" s="15"/>
      <c r="G48" s="15"/>
      <c r="H48" s="15"/>
      <c r="I48" s="15"/>
    </row>
    <row r="49" spans="2:11" x14ac:dyDescent="0.2">
      <c r="B49" s="13" t="s">
        <v>6</v>
      </c>
      <c r="C49" s="13" t="s">
        <v>1</v>
      </c>
      <c r="D49" s="51"/>
      <c r="E49" s="52"/>
      <c r="F49" s="52"/>
      <c r="G49" s="52"/>
      <c r="H49" s="29" t="s">
        <v>2</v>
      </c>
      <c r="I49" s="53"/>
      <c r="J49" s="14" t="s">
        <v>5</v>
      </c>
      <c r="K49" s="13" t="s">
        <v>3</v>
      </c>
    </row>
    <row r="50" spans="2:11" ht="12.75" customHeight="1" x14ac:dyDescent="0.2">
      <c r="B50" s="57">
        <v>1</v>
      </c>
      <c r="C50" s="3"/>
      <c r="D50" s="37" t="str">
        <f>D16</f>
        <v>CONCRETO PREMEZCLADO FC' 210 KG/CM2, AGREGADO GRUESO HUSO 67, SLUMP 4"6" COLOCADO BOMBEABLE</v>
      </c>
      <c r="E50" s="36"/>
      <c r="F50" s="36"/>
      <c r="G50" s="36"/>
      <c r="H50" s="36"/>
      <c r="I50" s="36"/>
      <c r="J50" s="42" t="s">
        <v>14</v>
      </c>
      <c r="K50" s="10">
        <f>K16</f>
        <v>7</v>
      </c>
    </row>
    <row r="51" spans="2:11" x14ac:dyDescent="0.2">
      <c r="B51" s="58"/>
      <c r="C51" s="4"/>
      <c r="D51" s="35"/>
      <c r="E51" s="36"/>
      <c r="F51" s="36"/>
      <c r="G51" s="36"/>
      <c r="H51" s="36"/>
      <c r="I51" s="36"/>
      <c r="J51" s="45"/>
      <c r="K51" s="11"/>
    </row>
    <row r="52" spans="2:11" x14ac:dyDescent="0.2">
      <c r="B52" s="58"/>
      <c r="C52" s="4"/>
      <c r="D52" s="35"/>
      <c r="E52" s="36"/>
      <c r="F52" s="36"/>
      <c r="G52" s="36"/>
      <c r="H52" s="36"/>
      <c r="I52" s="36"/>
      <c r="J52" s="45"/>
      <c r="K52" s="11"/>
    </row>
    <row r="53" spans="2:11" x14ac:dyDescent="0.2">
      <c r="B53" s="58"/>
      <c r="C53" s="4"/>
      <c r="D53" s="35"/>
      <c r="E53" s="36"/>
      <c r="F53" s="36"/>
      <c r="G53" s="36"/>
      <c r="H53" s="36"/>
      <c r="I53" s="36"/>
      <c r="J53" s="45"/>
      <c r="K53" s="11"/>
    </row>
    <row r="54" spans="2:11" x14ac:dyDescent="0.2">
      <c r="B54" s="59"/>
      <c r="C54" s="5"/>
      <c r="D54" s="35"/>
      <c r="E54" s="36"/>
      <c r="F54" s="36"/>
      <c r="G54" s="36"/>
      <c r="H54" s="36"/>
      <c r="I54" s="36"/>
      <c r="J54" s="48"/>
      <c r="K54" s="12"/>
    </row>
    <row r="55" spans="2:11" x14ac:dyDescent="0.2">
      <c r="B55" s="27"/>
      <c r="D55" s="28"/>
      <c r="E55" s="28"/>
      <c r="F55" s="28"/>
      <c r="G55" s="28"/>
      <c r="H55" s="28"/>
      <c r="I55" s="28"/>
      <c r="J55" s="27"/>
      <c r="K55" s="8"/>
    </row>
    <row r="56" spans="2:11" x14ac:dyDescent="0.2">
      <c r="B56" s="7" t="s">
        <v>18</v>
      </c>
      <c r="H56" s="8"/>
    </row>
    <row r="57" spans="2:11" x14ac:dyDescent="0.2">
      <c r="B57" s="7" t="s">
        <v>8</v>
      </c>
      <c r="E57" s="16"/>
      <c r="F57" s="16"/>
      <c r="G57" s="16"/>
      <c r="H57" s="9">
        <f>K50*2350</f>
        <v>16450</v>
      </c>
    </row>
    <row r="58" spans="2:11" ht="6.75" customHeight="1" x14ac:dyDescent="0.2"/>
    <row r="59" spans="2:11" x14ac:dyDescent="0.2">
      <c r="B59" s="21" t="s">
        <v>20</v>
      </c>
      <c r="C59" s="21"/>
      <c r="D59" s="21"/>
      <c r="E59" s="16" t="str">
        <f>E25</f>
        <v>AUN774</v>
      </c>
      <c r="F59" s="16"/>
      <c r="G59" s="16"/>
      <c r="H59" s="16"/>
      <c r="I59" s="20"/>
      <c r="J59" s="20"/>
      <c r="K59" s="20"/>
    </row>
    <row r="60" spans="2:11" x14ac:dyDescent="0.2">
      <c r="B60" s="21" t="s">
        <v>21</v>
      </c>
      <c r="C60" s="21"/>
      <c r="D60" s="21"/>
      <c r="E60" s="16" t="str">
        <f>E26</f>
        <v>CERRATE CORDOVA PEDRO KENNY - DNI N° 41545643 - LIC H41545643</v>
      </c>
      <c r="F60" s="16"/>
      <c r="G60" s="16"/>
      <c r="H60" s="16"/>
      <c r="I60" s="16"/>
      <c r="J60" s="16"/>
      <c r="K60" s="16"/>
    </row>
    <row r="61" spans="2:11" x14ac:dyDescent="0.2">
      <c r="K61" s="26" t="s">
        <v>31</v>
      </c>
    </row>
  </sheetData>
  <mergeCells count="7">
    <mergeCell ref="B50:B54"/>
    <mergeCell ref="G40:H40"/>
    <mergeCell ref="B25:D25"/>
    <mergeCell ref="G6:H6"/>
    <mergeCell ref="B26:D26"/>
    <mergeCell ref="F11:K11"/>
    <mergeCell ref="B16:B20"/>
  </mergeCells>
  <pageMargins left="0.25" right="0.25" top="0.75" bottom="0.75" header="0.3" footer="0.3"/>
  <pageSetup scale="9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E94DE9-EE6F-4D9C-B4CC-E6F0A5922A10}">
          <x14:formula1>
            <xm:f>Hoja2!$C$3:$C$6</xm:f>
          </x14:formula1>
          <xm:sqref>E25 E59</xm:sqref>
        </x14:dataValidation>
        <x14:dataValidation type="list" allowBlank="1" showInputMessage="1" showErrorMessage="1" xr:uid="{9991AEE6-4500-42D8-A9C7-116FCCB0AC00}">
          <x14:formula1>
            <xm:f>Hoja2!$B$3:$B$6</xm:f>
          </x14:formula1>
          <xm:sqref>E26 E60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2F99-D080-41EB-9825-F8675541FABE}">
  <dimension ref="A2:C6"/>
  <sheetViews>
    <sheetView workbookViewId="0">
      <selection activeCell="B13" sqref="B13"/>
    </sheetView>
  </sheetViews>
  <sheetFormatPr baseColWidth="10" defaultRowHeight="11.25" x14ac:dyDescent="0.2"/>
  <cols>
    <col min="1" max="1" width="6.7109375" style="16" bestFit="1" customWidth="1"/>
    <col min="2" max="2" width="60" style="16" bestFit="1" customWidth="1"/>
    <col min="3" max="16384" width="11.42578125" style="16"/>
  </cols>
  <sheetData>
    <row r="2" spans="1:3" x14ac:dyDescent="0.2">
      <c r="A2" s="16" t="s">
        <v>22</v>
      </c>
      <c r="B2" s="16" t="s">
        <v>0</v>
      </c>
      <c r="C2" s="16" t="s">
        <v>4</v>
      </c>
    </row>
    <row r="3" spans="1:3" x14ac:dyDescent="0.2">
      <c r="B3" s="16" t="s">
        <v>27</v>
      </c>
      <c r="C3" s="16" t="s">
        <v>25</v>
      </c>
    </row>
    <row r="4" spans="1:3" x14ac:dyDescent="0.2">
      <c r="B4" s="16" t="s">
        <v>28</v>
      </c>
      <c r="C4" s="16" t="s">
        <v>26</v>
      </c>
    </row>
    <row r="5" spans="1:3" x14ac:dyDescent="0.2">
      <c r="B5" s="16" t="s">
        <v>29</v>
      </c>
      <c r="C5" s="16" t="s">
        <v>24</v>
      </c>
    </row>
    <row r="6" spans="1:3" x14ac:dyDescent="0.2">
      <c r="B6" s="16" t="s">
        <v>30</v>
      </c>
      <c r="C6" s="16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GUIA PRIVADOS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JOSE ANDRE LA TORRE ESQUIVEL</cp:lastModifiedBy>
  <cp:lastPrinted>2025-07-21T08:08:57Z</cp:lastPrinted>
  <dcterms:created xsi:type="dcterms:W3CDTF">2024-03-22T13:49:43Z</dcterms:created>
  <dcterms:modified xsi:type="dcterms:W3CDTF">2025-07-21T19:29:28Z</dcterms:modified>
</cp:coreProperties>
</file>